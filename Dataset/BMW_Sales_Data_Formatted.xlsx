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ales Data" sheetId="1" r:id="rId1"/>
  </sheets>
  <definedNames>
    <definedName name="_xlnm._FilterDatabase" localSheetId="0" hidden="1">'Sales Data'!$A$1:$Y$11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<sst xmlns="http://schemas.openxmlformats.org/spreadsheetml/2006/main" count="185" uniqueCount="107">
  <si>
    <t>Sale_ID</t>
  </si>
  <si>
    <t>Sale_ID_No</t>
  </si>
  <si>
    <t>Sale_Date</t>
  </si>
  <si>
    <t>Customer_ID</t>
  </si>
  <si>
    <t>Customer_Age</t>
  </si>
  <si>
    <t>Customer_Gender</t>
  </si>
  <si>
    <t>Region</t>
  </si>
  <si>
    <t>Country</t>
  </si>
  <si>
    <t>Dealer</t>
  </si>
  <si>
    <t>Salesperson</t>
  </si>
  <si>
    <t>Model</t>
  </si>
  <si>
    <t>Trim</t>
  </si>
  <si>
    <t>Body_Type</t>
  </si>
  <si>
    <t>Manufacturing_Year</t>
  </si>
  <si>
    <t>Color</t>
  </si>
  <si>
    <t>Fuel_Type</t>
  </si>
  <si>
    <t>Transmission</t>
  </si>
  <si>
    <t>Engine_Size_L</t>
  </si>
  <si>
    <t>Mileage_Km</t>
  </si>
  <si>
    <t>List_Price_USD</t>
  </si>
  <si>
    <t>Discount_USD</t>
  </si>
  <si>
    <t>Final_Price_USD</t>
  </si>
  <si>
    <t>Payment_Method</t>
  </si>
  <si>
    <t>Customer_Rating</t>
  </si>
  <si>
    <t>Sales_Classification</t>
  </si>
  <si>
    <t>BMW-01056</t>
  </si>
  <si>
    <t>2022-01-01</t>
  </si>
  <si>
    <t>CUST-36949</t>
  </si>
  <si>
    <t>Female</t>
  </si>
  <si>
    <t>North America</t>
  </si>
  <si>
    <t>USA</t>
  </si>
  <si>
    <t>Bavarian Auto Group</t>
  </si>
  <si>
    <t>Ananya Singh</t>
  </si>
  <si>
    <t>M2</t>
  </si>
  <si>
    <t>M Sport</t>
  </si>
  <si>
    <t>Coupe</t>
  </si>
  <si>
    <t>White</t>
  </si>
  <si>
    <t>Petrol</t>
  </si>
  <si>
    <t>Automatic</t>
  </si>
  <si>
    <t>Cash</t>
  </si>
  <si>
    <t>High Value</t>
  </si>
  <si>
    <t>BMW-93810</t>
  </si>
  <si>
    <t>2022-02-10</t>
  </si>
  <si>
    <t>CUST-46048</t>
  </si>
  <si>
    <t>Male</t>
  </si>
  <si>
    <t>Europe</t>
  </si>
  <si>
    <t>France</t>
  </si>
  <si>
    <t>Jim Halpert</t>
  </si>
  <si>
    <t>i4</t>
  </si>
  <si>
    <t>Competition</t>
  </si>
  <si>
    <t>Sedan</t>
  </si>
  <si>
    <t>Grey</t>
  </si>
  <si>
    <t>Electric</t>
  </si>
  <si>
    <t>Standard</t>
  </si>
  <si>
    <t>BMW-13478</t>
  </si>
  <si>
    <t>2022-09-16</t>
  </si>
  <si>
    <t>CUST-95181</t>
  </si>
  <si>
    <t>UK</t>
  </si>
  <si>
    <t>Central BMW</t>
  </si>
  <si>
    <t>Sarah Connor</t>
  </si>
  <si>
    <t>3 Series</t>
  </si>
  <si>
    <t>Luxury Line</t>
  </si>
  <si>
    <t>Blue</t>
  </si>
  <si>
    <t>Diesel</t>
  </si>
  <si>
    <t>Premium</t>
  </si>
  <si>
    <t>BMW-55082</t>
  </si>
  <si>
    <t>2022-05-11</t>
  </si>
  <si>
    <t>CUST-70217</t>
  </si>
  <si>
    <t>Middle East</t>
  </si>
  <si>
    <t>UAE</t>
  </si>
  <si>
    <t>BMW-20458</t>
  </si>
  <si>
    <t>2022-04-13</t>
  </si>
  <si>
    <t>CUST-59823</t>
  </si>
  <si>
    <t>Asia</t>
  </si>
  <si>
    <t>Japan</t>
  </si>
  <si>
    <t>Elite BMW</t>
  </si>
  <si>
    <t>5 Series</t>
  </si>
  <si>
    <t>xDrive</t>
  </si>
  <si>
    <t>Hybrid</t>
  </si>
  <si>
    <t>Finance</t>
  </si>
  <si>
    <t>BMW-93886</t>
  </si>
  <si>
    <t>2022-09-17</t>
  </si>
  <si>
    <t>CUST-99733</t>
  </si>
  <si>
    <t>Germany</t>
  </si>
  <si>
    <t>Michael Scott</t>
  </si>
  <si>
    <t>X3</t>
  </si>
  <si>
    <t>SUV</t>
  </si>
  <si>
    <t>Lease</t>
  </si>
  <si>
    <t>BMW-44718</t>
  </si>
  <si>
    <t>2022-03-17</t>
  </si>
  <si>
    <t>CUST-83579</t>
  </si>
  <si>
    <t>John Doe</t>
  </si>
  <si>
    <t>Black</t>
  </si>
  <si>
    <t>BMW-60432</t>
  </si>
  <si>
    <t>2022-07-24</t>
  </si>
  <si>
    <t>CUST-79352</t>
  </si>
  <si>
    <t>Canada</t>
  </si>
  <si>
    <t>sDrive</t>
  </si>
  <si>
    <t>Silver</t>
  </si>
  <si>
    <t>BMW-23947</t>
  </si>
  <si>
    <t>2022-05-26</t>
  </si>
  <si>
    <t>CUST-89818</t>
  </si>
  <si>
    <t>David Brent</t>
  </si>
  <si>
    <t>BMW-41571</t>
  </si>
  <si>
    <t>2022-02-12</t>
  </si>
  <si>
    <t>CUST-73699</t>
  </si>
  <si>
    <t>Auto West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</si>
</sst>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0" fontId="0" fillId="0" borderId="1" xfId="0" applyNumberForma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abSelected="1" workbookViewId="0">
      <selection activeCell="B1" sqref="B1"/>
    </sheetView>
  </sheetViews>
  <sheetFormatPr defaultColWidth="9" defaultRowHeight="14.4"/>
  <cols>
    <col min="1" max="2" width="12.1018518518519" customWidth="1"/>
    <col min="3" max="3" width="13.2037037037037" customWidth="1"/>
    <col min="4" max="4" width="14.2962962962963" customWidth="1"/>
    <col min="5" max="5" width="15.3981481481481" customWidth="1"/>
    <col min="6" max="6" width="18.7037037037037" customWidth="1"/>
    <col min="7" max="7" width="16.5" customWidth="1"/>
    <col min="8" max="8" width="9.89814814814815" customWidth="1"/>
    <col min="9" max="9" width="23.1018518518519" customWidth="1"/>
    <col min="10" max="10" width="16.5" customWidth="1"/>
    <col min="11" max="11" width="11" customWidth="1"/>
    <col min="12" max="12" width="14.2962962962963" customWidth="1"/>
    <col min="13" max="13" width="12.1018518518519" customWidth="1"/>
    <col min="14" max="14" width="22" customWidth="1"/>
    <col min="15" max="15" width="8.7962962962963" customWidth="1"/>
    <col min="16" max="16" width="12.1018518518519" customWidth="1"/>
    <col min="17" max="17" width="15.3981481481481" customWidth="1"/>
    <col min="18" max="18" width="16.5" customWidth="1"/>
    <col min="19" max="19" width="13.2037037037037" customWidth="1"/>
    <col min="20" max="20" width="17.6018518518519" customWidth="1"/>
    <col min="21" max="21" width="15.3981481481481" customWidth="1"/>
    <col min="22" max="22" width="18.7037037037037" customWidth="1"/>
    <col min="23" max="23" width="17.6018518518519" customWidth="1"/>
    <col min="24" max="24" width="18.7037037037037" customWidth="1"/>
    <col min="25" max="25" width="24.203703703703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>
        <f>VALUE(SUBSTITUTE(A2,"BMW-",""))</f>
        <v>1056</v>
      </c>
      <c r="C2" s="2" t="s">
        <v>26</v>
      </c>
      <c r="D2" s="2" t="s">
        <v>27</v>
      </c>
      <c r="E2" s="3">
        <v>34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3">
        <v>2026</v>
      </c>
      <c r="O2" s="2" t="s">
        <v>36</v>
      </c>
      <c r="P2" s="2" t="s">
        <v>37</v>
      </c>
      <c r="Q2" s="2" t="s">
        <v>38</v>
      </c>
      <c r="R2" s="3">
        <v>3</v>
      </c>
      <c r="S2" s="3">
        <v>0</v>
      </c>
      <c r="T2" s="4">
        <v>85880.38</v>
      </c>
      <c r="U2" s="4">
        <v>8712.45</v>
      </c>
      <c r="V2" s="4">
        <v>77167.93</v>
      </c>
      <c r="W2" s="2" t="s">
        <v>39</v>
      </c>
      <c r="X2" s="3">
        <v>4.7</v>
      </c>
      <c r="Y2" s="2" t="s">
        <v>40</v>
      </c>
    </row>
    <row r="3" spans="1:25">
      <c r="A3" s="2" t="s">
        <v>41</v>
      </c>
      <c r="B3" s="2">
        <f t="shared" ref="B3:B66" si="0">VALUE(SUBSTITUTE(A3,"BMW-",""))</f>
        <v>93810</v>
      </c>
      <c r="C3" s="2" t="s">
        <v>42</v>
      </c>
      <c r="D3" s="2" t="s">
        <v>43</v>
      </c>
      <c r="E3" s="3">
        <v>40</v>
      </c>
      <c r="F3" s="2" t="s">
        <v>44</v>
      </c>
      <c r="G3" s="2" t="s">
        <v>45</v>
      </c>
      <c r="H3" s="2" t="s">
        <v>46</v>
      </c>
      <c r="I3" s="2" t="s">
        <v>31</v>
      </c>
      <c r="J3" s="2" t="s">
        <v>47</v>
      </c>
      <c r="K3" s="2" t="s">
        <v>48</v>
      </c>
      <c r="L3" s="2" t="s">
        <v>49</v>
      </c>
      <c r="M3" s="2" t="s">
        <v>50</v>
      </c>
      <c r="N3" s="3">
        <v>2022</v>
      </c>
      <c r="O3" s="2" t="s">
        <v>51</v>
      </c>
      <c r="P3" s="2" t="s">
        <v>52</v>
      </c>
      <c r="Q3" s="2" t="s">
        <v>38</v>
      </c>
      <c r="R3" s="3">
        <v>0</v>
      </c>
      <c r="S3" s="3">
        <v>6912</v>
      </c>
      <c r="T3" s="4">
        <v>42542.61</v>
      </c>
      <c r="U3" s="4">
        <v>1843.26</v>
      </c>
      <c r="V3" s="4">
        <v>40699.35</v>
      </c>
      <c r="W3" s="2" t="s">
        <v>39</v>
      </c>
      <c r="X3" s="3">
        <v>4.3</v>
      </c>
      <c r="Y3" s="2" t="s">
        <v>53</v>
      </c>
    </row>
    <row r="4" spans="1:25">
      <c r="A4" s="2" t="s">
        <v>54</v>
      </c>
      <c r="B4" s="2">
        <f t="shared" si="0"/>
        <v>13478</v>
      </c>
      <c r="C4" s="2" t="s">
        <v>55</v>
      </c>
      <c r="D4" s="2" t="s">
        <v>56</v>
      </c>
      <c r="E4" s="3">
        <v>59</v>
      </c>
      <c r="F4" s="2" t="s">
        <v>28</v>
      </c>
      <c r="G4" s="2" t="s">
        <v>45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50</v>
      </c>
      <c r="N4" s="3">
        <v>2025</v>
      </c>
      <c r="O4" s="2" t="s">
        <v>62</v>
      </c>
      <c r="P4" s="2" t="s">
        <v>63</v>
      </c>
      <c r="Q4" s="2" t="s">
        <v>38</v>
      </c>
      <c r="R4" s="3">
        <v>2.4</v>
      </c>
      <c r="S4" s="3">
        <v>12509</v>
      </c>
      <c r="T4" s="4">
        <v>66927.56</v>
      </c>
      <c r="U4" s="4">
        <v>1834.71</v>
      </c>
      <c r="V4" s="4">
        <v>65092.85</v>
      </c>
      <c r="W4" s="2" t="s">
        <v>39</v>
      </c>
      <c r="X4" s="3">
        <v>4</v>
      </c>
      <c r="Y4" s="2" t="s">
        <v>64</v>
      </c>
    </row>
    <row r="5" spans="1:25">
      <c r="A5" s="2" t="s">
        <v>65</v>
      </c>
      <c r="B5" s="2">
        <f t="shared" si="0"/>
        <v>55082</v>
      </c>
      <c r="C5" s="2" t="s">
        <v>66</v>
      </c>
      <c r="D5" s="2" t="s">
        <v>67</v>
      </c>
      <c r="E5" s="3">
        <v>59</v>
      </c>
      <c r="F5" s="2" t="s">
        <v>44</v>
      </c>
      <c r="G5" s="2" t="s">
        <v>68</v>
      </c>
      <c r="H5" s="2" t="s">
        <v>69</v>
      </c>
      <c r="I5" s="2" t="s">
        <v>58</v>
      </c>
      <c r="J5" s="2" t="s">
        <v>59</v>
      </c>
      <c r="K5" s="2" t="s">
        <v>48</v>
      </c>
      <c r="L5" s="2" t="s">
        <v>49</v>
      </c>
      <c r="M5" s="2" t="s">
        <v>50</v>
      </c>
      <c r="N5" s="3">
        <v>2024</v>
      </c>
      <c r="O5" s="2" t="s">
        <v>51</v>
      </c>
      <c r="P5" s="2" t="s">
        <v>52</v>
      </c>
      <c r="Q5" s="2" t="s">
        <v>38</v>
      </c>
      <c r="R5" s="3">
        <v>0</v>
      </c>
      <c r="S5" s="3">
        <v>3150</v>
      </c>
      <c r="T5" s="4">
        <v>96365.75</v>
      </c>
      <c r="U5" s="4">
        <v>1412.42</v>
      </c>
      <c r="V5" s="4">
        <v>94953.33</v>
      </c>
      <c r="W5" s="2" t="s">
        <v>39</v>
      </c>
      <c r="X5" s="3">
        <v>4.7</v>
      </c>
      <c r="Y5" s="2" t="s">
        <v>40</v>
      </c>
    </row>
    <row r="6" spans="1:25">
      <c r="A6" s="2" t="s">
        <v>70</v>
      </c>
      <c r="B6" s="2">
        <f t="shared" si="0"/>
        <v>20458</v>
      </c>
      <c r="C6" s="2" t="s">
        <v>71</v>
      </c>
      <c r="D6" s="2" t="s">
        <v>72</v>
      </c>
      <c r="E6" s="3">
        <v>42</v>
      </c>
      <c r="F6" s="2" t="s">
        <v>28</v>
      </c>
      <c r="G6" s="2" t="s">
        <v>73</v>
      </c>
      <c r="H6" s="2" t="s">
        <v>74</v>
      </c>
      <c r="I6" s="2" t="s">
        <v>75</v>
      </c>
      <c r="J6" s="2" t="s">
        <v>59</v>
      </c>
      <c r="K6" s="2" t="s">
        <v>76</v>
      </c>
      <c r="L6" s="2" t="s">
        <v>77</v>
      </c>
      <c r="M6" s="2" t="s">
        <v>50</v>
      </c>
      <c r="N6" s="3">
        <v>2022</v>
      </c>
      <c r="O6" s="2" t="s">
        <v>51</v>
      </c>
      <c r="P6" s="2" t="s">
        <v>78</v>
      </c>
      <c r="Q6" s="2" t="s">
        <v>38</v>
      </c>
      <c r="R6" s="3">
        <v>2.4</v>
      </c>
      <c r="S6" s="3">
        <v>11946</v>
      </c>
      <c r="T6" s="4">
        <v>59584.87</v>
      </c>
      <c r="U6" s="4">
        <v>5160.34</v>
      </c>
      <c r="V6" s="4">
        <v>54424.53</v>
      </c>
      <c r="W6" s="2" t="s">
        <v>79</v>
      </c>
      <c r="X6" s="3">
        <v>5</v>
      </c>
      <c r="Y6" s="2" t="s">
        <v>53</v>
      </c>
    </row>
    <row r="7" spans="1:25">
      <c r="A7" s="2" t="s">
        <v>80</v>
      </c>
      <c r="B7" s="2">
        <f t="shared" si="0"/>
        <v>93886</v>
      </c>
      <c r="C7" s="2" t="s">
        <v>81</v>
      </c>
      <c r="D7" s="2" t="s">
        <v>82</v>
      </c>
      <c r="E7" s="3">
        <v>45</v>
      </c>
      <c r="F7" s="2" t="s">
        <v>44</v>
      </c>
      <c r="G7" s="2" t="s">
        <v>45</v>
      </c>
      <c r="H7" s="2" t="s">
        <v>83</v>
      </c>
      <c r="I7" s="2" t="s">
        <v>75</v>
      </c>
      <c r="J7" s="2" t="s">
        <v>84</v>
      </c>
      <c r="K7" s="2" t="s">
        <v>85</v>
      </c>
      <c r="L7" s="2" t="s">
        <v>34</v>
      </c>
      <c r="M7" s="2" t="s">
        <v>86</v>
      </c>
      <c r="N7" s="3">
        <v>2023</v>
      </c>
      <c r="O7" s="2" t="s">
        <v>51</v>
      </c>
      <c r="P7" s="2" t="s">
        <v>78</v>
      </c>
      <c r="Q7" s="2" t="s">
        <v>38</v>
      </c>
      <c r="R7" s="3">
        <v>2.8</v>
      </c>
      <c r="S7" s="3">
        <v>10738</v>
      </c>
      <c r="T7" s="4">
        <v>79938.5</v>
      </c>
      <c r="U7" s="4">
        <v>8962.15</v>
      </c>
      <c r="V7" s="4">
        <v>70976.35</v>
      </c>
      <c r="W7" s="2" t="s">
        <v>87</v>
      </c>
      <c r="X7" s="3">
        <v>4.2</v>
      </c>
      <c r="Y7" s="2" t="s">
        <v>64</v>
      </c>
    </row>
    <row r="8" spans="1:25">
      <c r="A8" s="2" t="s">
        <v>88</v>
      </c>
      <c r="B8" s="2">
        <f t="shared" si="0"/>
        <v>44718</v>
      </c>
      <c r="C8" s="2" t="s">
        <v>89</v>
      </c>
      <c r="D8" s="2" t="s">
        <v>90</v>
      </c>
      <c r="E8" s="3">
        <v>59</v>
      </c>
      <c r="F8" s="2" t="s">
        <v>28</v>
      </c>
      <c r="G8" s="2" t="s">
        <v>68</v>
      </c>
      <c r="H8" s="2" t="s">
        <v>69</v>
      </c>
      <c r="I8" s="2" t="s">
        <v>75</v>
      </c>
      <c r="J8" s="2" t="s">
        <v>91</v>
      </c>
      <c r="K8" s="2" t="s">
        <v>76</v>
      </c>
      <c r="L8" s="2" t="s">
        <v>49</v>
      </c>
      <c r="M8" s="2" t="s">
        <v>50</v>
      </c>
      <c r="N8" s="3">
        <v>2025</v>
      </c>
      <c r="O8" s="2" t="s">
        <v>92</v>
      </c>
      <c r="P8" s="2" t="s">
        <v>37</v>
      </c>
      <c r="Q8" s="2" t="s">
        <v>38</v>
      </c>
      <c r="R8" s="3">
        <v>4.1</v>
      </c>
      <c r="S8" s="3">
        <v>2504</v>
      </c>
      <c r="T8" s="4">
        <v>90195.68</v>
      </c>
      <c r="U8" s="4">
        <v>8128.71</v>
      </c>
      <c r="V8" s="4">
        <v>82066.97</v>
      </c>
      <c r="W8" s="2" t="s">
        <v>79</v>
      </c>
      <c r="X8" s="3">
        <v>4.4</v>
      </c>
      <c r="Y8" s="2" t="s">
        <v>40</v>
      </c>
    </row>
    <row r="9" spans="1:25">
      <c r="A9" s="2" t="s">
        <v>93</v>
      </c>
      <c r="B9" s="2">
        <f t="shared" si="0"/>
        <v>60432</v>
      </c>
      <c r="C9" s="2" t="s">
        <v>94</v>
      </c>
      <c r="D9" s="2" t="s">
        <v>95</v>
      </c>
      <c r="E9" s="3">
        <v>41</v>
      </c>
      <c r="F9" s="2" t="s">
        <v>44</v>
      </c>
      <c r="G9" s="2" t="s">
        <v>29</v>
      </c>
      <c r="H9" s="2" t="s">
        <v>96</v>
      </c>
      <c r="I9" s="2" t="s">
        <v>75</v>
      </c>
      <c r="J9" s="2" t="s">
        <v>32</v>
      </c>
      <c r="K9" s="2" t="s">
        <v>85</v>
      </c>
      <c r="L9" s="2" t="s">
        <v>97</v>
      </c>
      <c r="M9" s="2" t="s">
        <v>86</v>
      </c>
      <c r="N9" s="3">
        <v>2023</v>
      </c>
      <c r="O9" s="2" t="s">
        <v>98</v>
      </c>
      <c r="P9" s="2" t="s">
        <v>37</v>
      </c>
      <c r="Q9" s="2" t="s">
        <v>38</v>
      </c>
      <c r="R9" s="3">
        <v>4.3</v>
      </c>
      <c r="S9" s="3">
        <v>14349</v>
      </c>
      <c r="T9" s="4">
        <v>97574.45</v>
      </c>
      <c r="U9" s="4">
        <v>9746.99</v>
      </c>
      <c r="V9" s="4">
        <v>87827.46</v>
      </c>
      <c r="W9" s="2" t="s">
        <v>39</v>
      </c>
      <c r="X9" s="3">
        <v>4.3</v>
      </c>
      <c r="Y9" s="2" t="s">
        <v>40</v>
      </c>
    </row>
    <row r="10" spans="1:25">
      <c r="A10" s="2" t="s">
        <v>99</v>
      </c>
      <c r="B10" s="2">
        <f t="shared" si="0"/>
        <v>23947</v>
      </c>
      <c r="C10" s="2" t="s">
        <v>100</v>
      </c>
      <c r="D10" s="2" t="s">
        <v>101</v>
      </c>
      <c r="E10" s="3">
        <v>37</v>
      </c>
      <c r="F10" s="2" t="s">
        <v>44</v>
      </c>
      <c r="G10" s="2" t="s">
        <v>73</v>
      </c>
      <c r="H10" s="2" t="s">
        <v>74</v>
      </c>
      <c r="I10" s="2" t="s">
        <v>58</v>
      </c>
      <c r="J10" s="2" t="s">
        <v>102</v>
      </c>
      <c r="K10" s="2" t="s">
        <v>60</v>
      </c>
      <c r="L10" s="2" t="s">
        <v>49</v>
      </c>
      <c r="M10" s="2" t="s">
        <v>50</v>
      </c>
      <c r="N10" s="3">
        <v>2024</v>
      </c>
      <c r="O10" s="2" t="s">
        <v>98</v>
      </c>
      <c r="P10" s="2" t="s">
        <v>37</v>
      </c>
      <c r="Q10" s="2" t="s">
        <v>38</v>
      </c>
      <c r="R10" s="3">
        <v>2.3</v>
      </c>
      <c r="S10" s="3">
        <v>5947</v>
      </c>
      <c r="T10" s="4">
        <v>110297.75</v>
      </c>
      <c r="U10" s="4">
        <v>8484.99</v>
      </c>
      <c r="V10" s="4">
        <v>101812.76</v>
      </c>
      <c r="W10" s="2" t="s">
        <v>79</v>
      </c>
      <c r="X10" s="3">
        <v>3.9</v>
      </c>
      <c r="Y10" s="2" t="s">
        <v>40</v>
      </c>
    </row>
    <row r="11" spans="1:25">
      <c r="A11" s="2" t="s">
        <v>103</v>
      </c>
      <c r="B11" s="2">
        <f t="shared" si="0"/>
        <v>41571</v>
      </c>
      <c r="C11" s="2" t="s">
        <v>104</v>
      </c>
      <c r="D11" s="2" t="s">
        <v>105</v>
      </c>
      <c r="E11" s="3">
        <v>29</v>
      </c>
      <c r="F11" s="2" t="s">
        <v>44</v>
      </c>
      <c r="G11" s="2" t="s">
        <v>45</v>
      </c>
      <c r="H11" s="2" t="s">
        <v>46</v>
      </c>
      <c r="I11" s="2" t="s">
        <v>106</v>
      </c>
      <c r="J11" s="2" t="s">
        <v>102</v>
      </c>
      <c r="K11" s="2" t="s">
        <v>76</v>
      </c>
      <c r="L11" s="2" t="s">
        <v>77</v>
      </c>
      <c r="M11" s="2" t="s">
        <v>50</v>
      </c>
      <c r="N11" s="3">
        <v>2026</v>
      </c>
      <c r="O11" s="2" t="s">
        <v>51</v>
      </c>
      <c r="P11" s="2" t="s">
        <v>63</v>
      </c>
      <c r="Q11" s="2" t="s">
        <v>38</v>
      </c>
      <c r="R11" s="3">
        <v>4.3</v>
      </c>
      <c r="S11" s="3">
        <v>8835</v>
      </c>
      <c r="T11" s="4">
        <v>100421.22</v>
      </c>
      <c r="U11" s="4">
        <v>7208.81</v>
      </c>
      <c r="V11" s="4">
        <v>93212.41</v>
      </c>
      <c r="W11" s="2" t="s">
        <v>87</v>
      </c>
      <c r="X11" s="3">
        <v>4</v>
      </c>
      <c r="Y11" s="2" t="s">
        <v>40</v>
      </c>
    </row>
  </sheetData>
  <autoFilter xmlns:etc="http://www.wps.cn/officeDocument/2017/etCustomData" ref="A1:Y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amirl</cp:lastModifiedBy>
  <dcterms:created xsi:type="dcterms:W3CDTF">2026-08-20T10:56:00Z</dcterms:created>
  <dcterms:modified xsi:type="dcterms:W3CDTF">2026-08-20T12:19:18Z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FC224E642DE74D5A8952C24D6C44AFBD_13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